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adam_simmers_postgrad_manchester_ac_uk/Documents/Thesis/Code/descriptive stats/"/>
    </mc:Choice>
  </mc:AlternateContent>
  <xr:revisionPtr revIDLastSave="20" documentId="11_EAA86CEB3E24751DCF738D1173D2230F2B239322" xr6:coauthVersionLast="47" xr6:coauthVersionMax="47" xr10:uidLastSave="{F6F80C07-FC4C-416C-8C02-F59DD141AE6D}"/>
  <bookViews>
    <workbookView xWindow="-90" yWindow="0" windowWidth="9730" windowHeight="10170" firstSheet="13" activeTab="13" xr2:uid="{00000000-000D-0000-FFFF-FFFF00000000}"/>
  </bookViews>
  <sheets>
    <sheet name="('Βαθύ', 'Sprayed')" sheetId="1" r:id="rId1"/>
    <sheet name="('Βαθύ', 'Unsprayed')" sheetId="2" r:id="rId2"/>
    <sheet name="('Καρλόβασι', 'Sprayed')" sheetId="3" r:id="rId3"/>
    <sheet name="('Καρλόβασι', 'Unsprayed')" sheetId="4" r:id="rId4"/>
    <sheet name="('Κοκκάρι', 'Sprayed')" sheetId="5" r:id="rId5"/>
    <sheet name="('Κοκκάρι', 'Unsprayed')" sheetId="6" r:id="rId6"/>
    <sheet name="('Μαραθόκαμπος', 'Sprayed')" sheetId="7" r:id="rId7"/>
    <sheet name="('Μαραθόκαμπος', 'Unsprayed')" sheetId="8" r:id="rId8"/>
    <sheet name="('Μυτιληνιοί', 'Sprayed')" sheetId="9" r:id="rId9"/>
    <sheet name="('Μυτιληνιοί', 'Unsprayed')" sheetId="10" r:id="rId10"/>
    <sheet name="('Πυθαγόρειο', 'Sprayed')" sheetId="11" r:id="rId11"/>
    <sheet name="('Πυθαγόρειο', 'Unsprayed')" sheetId="12" r:id="rId12"/>
    <sheet name="('Πύργος', 'Sprayed')" sheetId="13" r:id="rId13"/>
    <sheet name="('Πύργος', 'Unsprayed')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4" l="1"/>
  <c r="B13" i="13"/>
  <c r="B13" i="12"/>
  <c r="B13" i="11"/>
  <c r="B13" i="10"/>
  <c r="B13" i="9"/>
  <c r="B13" i="8"/>
  <c r="B13" i="7"/>
  <c r="B13" i="6"/>
  <c r="B13" i="5"/>
  <c r="B13" i="4"/>
  <c r="B13" i="3"/>
  <c r="B13" i="2"/>
  <c r="B13" i="1"/>
</calcChain>
</file>

<file path=xl/sharedStrings.xml><?xml version="1.0" encoding="utf-8"?>
<sst xmlns="http://schemas.openxmlformats.org/spreadsheetml/2006/main" count="182" uniqueCount="20">
  <si>
    <t>Change (25 days)</t>
  </si>
  <si>
    <t>sum</t>
  </si>
  <si>
    <t>Βαθύ</t>
  </si>
  <si>
    <t>Sprayed</t>
  </si>
  <si>
    <t>count</t>
  </si>
  <si>
    <t>mean</t>
  </si>
  <si>
    <t>std</t>
  </si>
  <si>
    <t>min</t>
  </si>
  <si>
    <t>25%</t>
  </si>
  <si>
    <t>50%</t>
  </si>
  <si>
    <t>75%</t>
  </si>
  <si>
    <t>max</t>
  </si>
  <si>
    <t>Unsprayed</t>
  </si>
  <si>
    <t>Καρλόβασι</t>
  </si>
  <si>
    <t>Κοκκάρι</t>
  </si>
  <si>
    <t>Μαραθόκαμπος</t>
  </si>
  <si>
    <t>Μυτιληνιοί</t>
  </si>
  <si>
    <t>Πυθαγόρειο</t>
  </si>
  <si>
    <t>Πύργος</t>
  </si>
  <si>
    <t>st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</si>
</sst>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>
      <selection activeCell="B14" sqref="B14"/>
    </sheetView>
  </sheetViews>
  <sheetFormatPr defaultRowHeight="14.5" x14ac:dyDescent="0.35"/>
  <cols>
    <col min="2" max="2" width="22.90625" customWidth="1"/>
  </cols>
  <sheetData>
    <row r="1" spans="1:3" x14ac:dyDescent="0.35">
      <c r="A1" s="1"/>
      <c r="B1" s="1" t="s">
        <v>0</v>
      </c>
      <c r="C1" s="1" t="s">
        <v>1</v>
      </c>
    </row>
    <row r="2" spans="1:3" x14ac:dyDescent="0.35">
      <c r="A2" s="1"/>
      <c r="B2" s="1" t="s">
        <v>2</v>
      </c>
      <c r="C2" s="1"/>
    </row>
    <row r="3" spans="1:3" x14ac:dyDescent="0.35">
      <c r="A3" s="1"/>
      <c r="B3" s="1" t="s">
        <v>3</v>
      </c>
      <c r="C3" s="1"/>
    </row>
    <row r="5" spans="1:3" x14ac:dyDescent="0.35">
      <c r="A5" s="1" t="s">
        <v>4</v>
      </c>
      <c r="B5">
        <v>170</v>
      </c>
      <c r="C5">
        <v>95</v>
      </c>
    </row>
    <row r="6" spans="1:3" x14ac:dyDescent="0.35">
      <c r="A6" s="1" t="s">
        <v>5</v>
      </c>
      <c r="B6">
        <v>0.55882352941176472</v>
      </c>
      <c r="C6">
        <v>95</v>
      </c>
    </row>
    <row r="7" spans="1:3" x14ac:dyDescent="0.35">
      <c r="A7" s="1" t="s">
        <v>6</v>
      </c>
      <c r="B7">
        <v>22.989052162231189</v>
      </c>
      <c r="C7">
        <v>95</v>
      </c>
    </row>
    <row r="8" spans="1:3" x14ac:dyDescent="0.35">
      <c r="A8" s="1" t="s">
        <v>7</v>
      </c>
      <c r="B8">
        <v>-72</v>
      </c>
      <c r="C8">
        <v>95</v>
      </c>
    </row>
    <row r="9" spans="1:3" x14ac:dyDescent="0.35">
      <c r="A9" s="1" t="s">
        <v>8</v>
      </c>
      <c r="B9">
        <v>-8</v>
      </c>
      <c r="C9">
        <v>95</v>
      </c>
    </row>
    <row r="10" spans="1:3" x14ac:dyDescent="0.35">
      <c r="A10" s="1" t="s">
        <v>9</v>
      </c>
      <c r="B10">
        <v>-1</v>
      </c>
      <c r="C10">
        <v>95</v>
      </c>
    </row>
    <row r="11" spans="1:3" x14ac:dyDescent="0.35">
      <c r="A11" s="1" t="s">
        <v>10</v>
      </c>
      <c r="B11">
        <v>7.75</v>
      </c>
      <c r="C11">
        <v>95</v>
      </c>
    </row>
    <row r="12" spans="1:3" x14ac:dyDescent="0.35">
      <c r="A12" s="1" t="s">
        <v>11</v>
      </c>
      <c r="B12">
        <v>80</v>
      </c>
      <c r="C12">
        <v>95</v>
      </c>
    </row>
    <row r="13" spans="1:3" x14ac:dyDescent="0.35">
      <c r="A13" s="2" t="s">
        <v>19</v>
      </c>
      <c r="B13">
        <f>B7/(SQRT(B5))</f>
        <v>1.763179813521726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selection activeCell="B13" sqref="A13:B13"/>
    </sheetView>
  </sheetViews>
  <sheetFormatPr defaultRowHeight="14.5" x14ac:dyDescent="0.35"/>
  <sheetData>
    <row r="1" spans="1:3" x14ac:dyDescent="0.35">
      <c r="A1" s="1"/>
      <c r="B1" s="1" t="s">
        <v>0</v>
      </c>
      <c r="C1" s="1" t="s">
        <v>1</v>
      </c>
    </row>
    <row r="2" spans="1:3" x14ac:dyDescent="0.35">
      <c r="A2" s="1"/>
      <c r="B2" s="1" t="s">
        <v>2</v>
      </c>
      <c r="C2" s="1"/>
    </row>
    <row r="3" spans="1:3" x14ac:dyDescent="0.35">
      <c r="A3" s="1"/>
      <c r="B3" s="1" t="s">
        <v>12</v>
      </c>
      <c r="C3" s="1"/>
    </row>
    <row r="5" spans="1:3" x14ac:dyDescent="0.35">
      <c r="A5" s="1" t="s">
        <v>4</v>
      </c>
      <c r="B5">
        <v>154</v>
      </c>
      <c r="C5">
        <v>135</v>
      </c>
    </row>
    <row r="6" spans="1:3" x14ac:dyDescent="0.35">
      <c r="A6" s="1" t="s">
        <v>5</v>
      </c>
      <c r="B6">
        <v>0.87662337662337664</v>
      </c>
      <c r="C6">
        <v>135</v>
      </c>
    </row>
    <row r="7" spans="1:3" x14ac:dyDescent="0.35">
      <c r="A7" s="1" t="s">
        <v>6</v>
      </c>
      <c r="B7">
        <v>16.983393627662569</v>
      </c>
      <c r="C7">
        <v>135</v>
      </c>
    </row>
    <row r="8" spans="1:3" x14ac:dyDescent="0.35">
      <c r="A8" s="1" t="s">
        <v>7</v>
      </c>
      <c r="B8">
        <v>-55</v>
      </c>
      <c r="C8">
        <v>135</v>
      </c>
    </row>
    <row r="9" spans="1:3" x14ac:dyDescent="0.35">
      <c r="A9" s="1" t="s">
        <v>8</v>
      </c>
      <c r="B9">
        <v>-7</v>
      </c>
      <c r="C9">
        <v>135</v>
      </c>
    </row>
    <row r="10" spans="1:3" x14ac:dyDescent="0.35">
      <c r="A10" s="1" t="s">
        <v>9</v>
      </c>
      <c r="B10">
        <v>-1.5</v>
      </c>
      <c r="C10">
        <v>135</v>
      </c>
    </row>
    <row r="11" spans="1:3" x14ac:dyDescent="0.35">
      <c r="A11" s="1" t="s">
        <v>10</v>
      </c>
      <c r="B11">
        <v>5</v>
      </c>
      <c r="C11">
        <v>135</v>
      </c>
    </row>
    <row r="12" spans="1:3" x14ac:dyDescent="0.35">
      <c r="A12" s="1" t="s">
        <v>11</v>
      </c>
      <c r="B12">
        <v>49</v>
      </c>
      <c r="C12">
        <v>135</v>
      </c>
    </row>
    <row r="13" spans="1:3" x14ac:dyDescent="0.35">
      <c r="A13" s="2" t="s">
        <v>19</v>
      </c>
      <c r="B13">
        <f>B7/(SQRT(B5))</f>
        <v>1.3685608592252807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>
      <selection activeCell="A13" sqref="A13:B13"/>
    </sheetView>
  </sheetViews>
  <sheetFormatPr defaultRowHeight="14.5" x14ac:dyDescent="0.35"/>
  <sheetData>
    <row r="1" spans="1:3" x14ac:dyDescent="0.35">
      <c r="A1" s="1"/>
      <c r="B1" s="1" t="s">
        <v>0</v>
      </c>
      <c r="C1" s="1" t="s">
        <v>1</v>
      </c>
    </row>
    <row r="2" spans="1:3" x14ac:dyDescent="0.35">
      <c r="A2" s="1"/>
      <c r="B2" s="1" t="s">
        <v>13</v>
      </c>
      <c r="C2" s="1"/>
    </row>
    <row r="3" spans="1:3" x14ac:dyDescent="0.35">
      <c r="A3" s="1"/>
      <c r="B3" s="1" t="s">
        <v>3</v>
      </c>
      <c r="C3" s="1"/>
    </row>
    <row r="5" spans="1:3" x14ac:dyDescent="0.35">
      <c r="A5" s="1" t="s">
        <v>4</v>
      </c>
      <c r="B5">
        <v>134</v>
      </c>
      <c r="C5">
        <v>-414</v>
      </c>
    </row>
    <row r="6" spans="1:3" x14ac:dyDescent="0.35">
      <c r="A6" s="1" t="s">
        <v>5</v>
      </c>
      <c r="B6">
        <v>-3.08955223880597</v>
      </c>
      <c r="C6">
        <v>-414</v>
      </c>
    </row>
    <row r="7" spans="1:3" x14ac:dyDescent="0.35">
      <c r="A7" s="1" t="s">
        <v>6</v>
      </c>
      <c r="B7">
        <v>15.151099955884071</v>
      </c>
      <c r="C7">
        <v>-414</v>
      </c>
    </row>
    <row r="8" spans="1:3" x14ac:dyDescent="0.35">
      <c r="A8" s="1" t="s">
        <v>7</v>
      </c>
      <c r="B8">
        <v>-80</v>
      </c>
      <c r="C8">
        <v>-414</v>
      </c>
    </row>
    <row r="9" spans="1:3" x14ac:dyDescent="0.35">
      <c r="A9" s="1" t="s">
        <v>8</v>
      </c>
      <c r="B9">
        <v>-9.75</v>
      </c>
      <c r="C9">
        <v>-414</v>
      </c>
    </row>
    <row r="10" spans="1:3" x14ac:dyDescent="0.35">
      <c r="A10" s="1" t="s">
        <v>9</v>
      </c>
      <c r="B10">
        <v>-2</v>
      </c>
      <c r="C10">
        <v>-414</v>
      </c>
    </row>
    <row r="11" spans="1:3" x14ac:dyDescent="0.35">
      <c r="A11" s="1" t="s">
        <v>10</v>
      </c>
      <c r="B11">
        <v>4.75</v>
      </c>
      <c r="C11">
        <v>-414</v>
      </c>
    </row>
    <row r="12" spans="1:3" x14ac:dyDescent="0.35">
      <c r="A12" s="1" t="s">
        <v>11</v>
      </c>
      <c r="B12">
        <v>38</v>
      </c>
      <c r="C12">
        <v>-414</v>
      </c>
    </row>
    <row r="13" spans="1:3" x14ac:dyDescent="0.35">
      <c r="A13" s="2" t="s">
        <v>19</v>
      </c>
      <c r="B13">
        <f>B7/(SQRT(B5))</f>
        <v>1.3088556864715386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>
      <selection activeCell="A13" sqref="A13:B13"/>
    </sheetView>
  </sheetViews>
  <sheetFormatPr defaultRowHeight="14.5" x14ac:dyDescent="0.35"/>
  <sheetData>
    <row r="1" spans="1:3" x14ac:dyDescent="0.35">
      <c r="A1" s="1"/>
      <c r="B1" s="1" t="s">
        <v>0</v>
      </c>
      <c r="C1" s="1" t="s">
        <v>1</v>
      </c>
    </row>
    <row r="2" spans="1:3" x14ac:dyDescent="0.35">
      <c r="A2" s="1"/>
      <c r="B2" s="1" t="s">
        <v>13</v>
      </c>
      <c r="C2" s="1"/>
    </row>
    <row r="3" spans="1:3" x14ac:dyDescent="0.35">
      <c r="A3" s="1"/>
      <c r="B3" s="1" t="s">
        <v>12</v>
      </c>
      <c r="C3" s="1"/>
    </row>
    <row r="5" spans="1:3" x14ac:dyDescent="0.35">
      <c r="A5" s="1" t="s">
        <v>4</v>
      </c>
      <c r="B5">
        <v>270</v>
      </c>
      <c r="C5">
        <v>-322</v>
      </c>
    </row>
    <row r="6" spans="1:3" x14ac:dyDescent="0.35">
      <c r="A6" s="1" t="s">
        <v>5</v>
      </c>
      <c r="B6">
        <v>-1.1925925925925931</v>
      </c>
      <c r="C6">
        <v>-322</v>
      </c>
    </row>
    <row r="7" spans="1:3" x14ac:dyDescent="0.35">
      <c r="A7" s="1" t="s">
        <v>6</v>
      </c>
      <c r="B7">
        <v>20.55204520301351</v>
      </c>
      <c r="C7">
        <v>-322</v>
      </c>
    </row>
    <row r="8" spans="1:3" x14ac:dyDescent="0.35">
      <c r="A8" s="1" t="s">
        <v>7</v>
      </c>
      <c r="B8">
        <v>-59</v>
      </c>
      <c r="C8">
        <v>-322</v>
      </c>
    </row>
    <row r="9" spans="1:3" x14ac:dyDescent="0.35">
      <c r="A9" s="1" t="s">
        <v>8</v>
      </c>
      <c r="B9">
        <v>-8</v>
      </c>
      <c r="C9">
        <v>-322</v>
      </c>
    </row>
    <row r="10" spans="1:3" x14ac:dyDescent="0.35">
      <c r="A10" s="1" t="s">
        <v>9</v>
      </c>
      <c r="B10">
        <v>-1</v>
      </c>
      <c r="C10">
        <v>-322</v>
      </c>
    </row>
    <row r="11" spans="1:3" x14ac:dyDescent="0.35">
      <c r="A11" s="1" t="s">
        <v>10</v>
      </c>
      <c r="B11">
        <v>5</v>
      </c>
      <c r="C11">
        <v>-322</v>
      </c>
    </row>
    <row r="12" spans="1:3" x14ac:dyDescent="0.35">
      <c r="A12" s="1" t="s">
        <v>11</v>
      </c>
      <c r="B12">
        <v>134</v>
      </c>
      <c r="C12">
        <v>-322</v>
      </c>
    </row>
    <row r="13" spans="1:3" x14ac:dyDescent="0.35">
      <c r="A13" s="2" t="s">
        <v>19</v>
      </c>
      <c r="B13">
        <f>B7/(SQRT(B5))</f>
        <v>1.2507576400618157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"/>
  <sheetViews>
    <sheetView workbookViewId="0">
      <selection activeCell="A13" sqref="A13:B13"/>
    </sheetView>
  </sheetViews>
  <sheetFormatPr defaultRowHeight="14.5" x14ac:dyDescent="0.35"/>
  <sheetData>
    <row r="1" spans="1:3" x14ac:dyDescent="0.35">
      <c r="A1" s="1"/>
      <c r="B1" s="1" t="s">
        <v>0</v>
      </c>
      <c r="C1" s="1" t="s">
        <v>1</v>
      </c>
    </row>
    <row r="2" spans="1:3" x14ac:dyDescent="0.35">
      <c r="A2" s="1"/>
      <c r="B2" s="1" t="s">
        <v>14</v>
      </c>
      <c r="C2" s="1"/>
    </row>
    <row r="3" spans="1:3" x14ac:dyDescent="0.35">
      <c r="A3" s="1"/>
      <c r="B3" s="1" t="s">
        <v>3</v>
      </c>
      <c r="C3" s="1"/>
    </row>
    <row r="5" spans="1:3" x14ac:dyDescent="0.35">
      <c r="A5" s="1" t="s">
        <v>4</v>
      </c>
      <c r="B5">
        <v>187</v>
      </c>
      <c r="C5">
        <v>-683</v>
      </c>
    </row>
    <row r="6" spans="1:3" x14ac:dyDescent="0.35">
      <c r="A6" s="1" t="s">
        <v>5</v>
      </c>
      <c r="B6">
        <v>-3.652406417112299</v>
      </c>
      <c r="C6">
        <v>-683</v>
      </c>
    </row>
    <row r="7" spans="1:3" x14ac:dyDescent="0.35">
      <c r="A7" s="1" t="s">
        <v>6</v>
      </c>
      <c r="B7">
        <v>12.92001997757874</v>
      </c>
      <c r="C7">
        <v>-683</v>
      </c>
    </row>
    <row r="8" spans="1:3" x14ac:dyDescent="0.35">
      <c r="A8" s="1" t="s">
        <v>7</v>
      </c>
      <c r="B8">
        <v>-75</v>
      </c>
      <c r="C8">
        <v>-683</v>
      </c>
    </row>
    <row r="9" spans="1:3" x14ac:dyDescent="0.35">
      <c r="A9" s="1" t="s">
        <v>8</v>
      </c>
      <c r="B9">
        <v>-9</v>
      </c>
      <c r="C9">
        <v>-683</v>
      </c>
    </row>
    <row r="10" spans="1:3" x14ac:dyDescent="0.35">
      <c r="A10" s="1" t="s">
        <v>9</v>
      </c>
      <c r="B10">
        <v>-2</v>
      </c>
      <c r="C10">
        <v>-683</v>
      </c>
    </row>
    <row r="11" spans="1:3" x14ac:dyDescent="0.35">
      <c r="A11" s="1" t="s">
        <v>10</v>
      </c>
      <c r="B11">
        <v>5</v>
      </c>
      <c r="C11">
        <v>-683</v>
      </c>
    </row>
    <row r="12" spans="1:3" x14ac:dyDescent="0.35">
      <c r="A12" s="1" t="s">
        <v>11</v>
      </c>
      <c r="B12">
        <v>29</v>
      </c>
      <c r="C12">
        <v>-683</v>
      </c>
    </row>
    <row r="13" spans="1:3" x14ac:dyDescent="0.35">
      <c r="A13" s="2" t="s">
        <v>19</v>
      </c>
      <c r="B13">
        <f>B7/(SQRT(B5))</f>
        <v>0.94480543287749608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3"/>
  <sheetViews>
    <sheetView workbookViewId="0">
      <selection activeCell="B13" sqref="A13:B13"/>
    </sheetView>
  </sheetViews>
  <sheetFormatPr defaultRowHeight="14.5" x14ac:dyDescent="0.35"/>
  <sheetData>
    <row r="1" spans="1:3" x14ac:dyDescent="0.35">
      <c r="A1" s="1"/>
      <c r="B1" s="1" t="s">
        <v>0</v>
      </c>
      <c r="C1" s="1" t="s">
        <v>1</v>
      </c>
    </row>
    <row r="2" spans="1:3" x14ac:dyDescent="0.35">
      <c r="A2" s="1"/>
      <c r="B2" s="1" t="s">
        <v>14</v>
      </c>
      <c r="C2" s="1"/>
    </row>
    <row r="3" spans="1:3" x14ac:dyDescent="0.35">
      <c r="A3" s="1"/>
      <c r="B3" s="1" t="s">
        <v>12</v>
      </c>
      <c r="C3" s="1"/>
    </row>
    <row r="5" spans="1:3" x14ac:dyDescent="0.35">
      <c r="A5" s="1" t="s">
        <v>4</v>
      </c>
      <c r="B5">
        <v>177</v>
      </c>
      <c r="C5">
        <v>-172</v>
      </c>
    </row>
    <row r="6" spans="1:3" x14ac:dyDescent="0.35">
      <c r="A6" s="1" t="s">
        <v>5</v>
      </c>
      <c r="B6">
        <v>-0.97175141242937857</v>
      </c>
      <c r="C6">
        <v>-172</v>
      </c>
    </row>
    <row r="7" spans="1:3" x14ac:dyDescent="0.35">
      <c r="A7" s="1" t="s">
        <v>6</v>
      </c>
      <c r="B7">
        <v>8.3770719136786695</v>
      </c>
      <c r="C7">
        <v>-172</v>
      </c>
    </row>
    <row r="8" spans="1:3" x14ac:dyDescent="0.35">
      <c r="A8" s="1" t="s">
        <v>7</v>
      </c>
      <c r="B8">
        <v>-28</v>
      </c>
      <c r="C8">
        <v>-172</v>
      </c>
    </row>
    <row r="9" spans="1:3" x14ac:dyDescent="0.35">
      <c r="A9" s="1" t="s">
        <v>8</v>
      </c>
      <c r="B9">
        <v>-5</v>
      </c>
      <c r="C9">
        <v>-172</v>
      </c>
    </row>
    <row r="10" spans="1:3" x14ac:dyDescent="0.35">
      <c r="A10" s="1" t="s">
        <v>9</v>
      </c>
      <c r="B10">
        <v>-1</v>
      </c>
      <c r="C10">
        <v>-172</v>
      </c>
    </row>
    <row r="11" spans="1:3" x14ac:dyDescent="0.35">
      <c r="A11" s="1" t="s">
        <v>10</v>
      </c>
      <c r="B11">
        <v>3</v>
      </c>
      <c r="C11">
        <v>-172</v>
      </c>
    </row>
    <row r="12" spans="1:3" x14ac:dyDescent="0.35">
      <c r="A12" s="1" t="s">
        <v>11</v>
      </c>
      <c r="B12">
        <v>21</v>
      </c>
      <c r="C12">
        <v>-172</v>
      </c>
    </row>
    <row r="13" spans="1:3" x14ac:dyDescent="0.35">
      <c r="A13" s="2" t="s">
        <v>19</v>
      </c>
      <c r="B13">
        <f>B7/(SQRT(B5))</f>
        <v>0.62965928302106289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3"/>
  <sheetViews>
    <sheetView workbookViewId="0">
      <selection activeCell="A13" sqref="A13:B13"/>
    </sheetView>
  </sheetViews>
  <sheetFormatPr defaultRowHeight="14.5" x14ac:dyDescent="0.35"/>
  <sheetData>
    <row r="1" spans="1:3" x14ac:dyDescent="0.35">
      <c r="A1" s="1"/>
      <c r="B1" s="1" t="s">
        <v>0</v>
      </c>
      <c r="C1" s="1" t="s">
        <v>1</v>
      </c>
    </row>
    <row r="2" spans="1:3" x14ac:dyDescent="0.35">
      <c r="A2" s="1"/>
      <c r="B2" s="1" t="s">
        <v>15</v>
      </c>
      <c r="C2" s="1"/>
    </row>
    <row r="3" spans="1:3" x14ac:dyDescent="0.35">
      <c r="A3" s="1"/>
      <c r="B3" s="1" t="s">
        <v>3</v>
      </c>
      <c r="C3" s="1"/>
    </row>
    <row r="5" spans="1:3" x14ac:dyDescent="0.35">
      <c r="A5" s="1" t="s">
        <v>4</v>
      </c>
      <c r="B5">
        <v>142</v>
      </c>
      <c r="C5">
        <v>93</v>
      </c>
    </row>
    <row r="6" spans="1:3" x14ac:dyDescent="0.35">
      <c r="A6" s="1" t="s">
        <v>5</v>
      </c>
      <c r="B6">
        <v>0.65492957746478875</v>
      </c>
      <c r="C6">
        <v>93</v>
      </c>
    </row>
    <row r="7" spans="1:3" x14ac:dyDescent="0.35">
      <c r="A7" s="1" t="s">
        <v>6</v>
      </c>
      <c r="B7">
        <v>7.9216426538585427</v>
      </c>
      <c r="C7">
        <v>93</v>
      </c>
    </row>
    <row r="8" spans="1:3" x14ac:dyDescent="0.35">
      <c r="A8" s="1" t="s">
        <v>7</v>
      </c>
      <c r="B8">
        <v>-28</v>
      </c>
      <c r="C8">
        <v>93</v>
      </c>
    </row>
    <row r="9" spans="1:3" x14ac:dyDescent="0.35">
      <c r="A9" s="1" t="s">
        <v>8</v>
      </c>
      <c r="B9">
        <v>-2</v>
      </c>
      <c r="C9">
        <v>93</v>
      </c>
    </row>
    <row r="10" spans="1:3" x14ac:dyDescent="0.35">
      <c r="A10" s="1" t="s">
        <v>9</v>
      </c>
      <c r="B10">
        <v>-1</v>
      </c>
      <c r="C10">
        <v>93</v>
      </c>
    </row>
    <row r="11" spans="1:3" x14ac:dyDescent="0.35">
      <c r="A11" s="1" t="s">
        <v>10</v>
      </c>
      <c r="B11">
        <v>4</v>
      </c>
      <c r="C11">
        <v>93</v>
      </c>
    </row>
    <row r="12" spans="1:3" x14ac:dyDescent="0.35">
      <c r="A12" s="1" t="s">
        <v>11</v>
      </c>
      <c r="B12">
        <v>28</v>
      </c>
      <c r="C12">
        <v>93</v>
      </c>
    </row>
    <row r="13" spans="1:3" x14ac:dyDescent="0.35">
      <c r="A13" s="2" t="s">
        <v>19</v>
      </c>
      <c r="B13">
        <f>B7/(SQRT(B5))</f>
        <v>0.66476948422060012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3"/>
  <sheetViews>
    <sheetView workbookViewId="0">
      <selection activeCell="A13" sqref="A13:B13"/>
    </sheetView>
  </sheetViews>
  <sheetFormatPr defaultRowHeight="14.5" x14ac:dyDescent="0.35"/>
  <sheetData>
    <row r="1" spans="1:3" x14ac:dyDescent="0.35">
      <c r="A1" s="1"/>
      <c r="B1" s="1" t="s">
        <v>0</v>
      </c>
      <c r="C1" s="1" t="s">
        <v>1</v>
      </c>
    </row>
    <row r="2" spans="1:3" x14ac:dyDescent="0.35">
      <c r="A2" s="1"/>
      <c r="B2" s="1" t="s">
        <v>15</v>
      </c>
      <c r="C2" s="1"/>
    </row>
    <row r="3" spans="1:3" x14ac:dyDescent="0.35">
      <c r="A3" s="1"/>
      <c r="B3" s="1" t="s">
        <v>12</v>
      </c>
      <c r="C3" s="1"/>
    </row>
    <row r="5" spans="1:3" x14ac:dyDescent="0.35">
      <c r="A5" s="1" t="s">
        <v>4</v>
      </c>
      <c r="B5">
        <v>87</v>
      </c>
      <c r="C5">
        <v>-42</v>
      </c>
    </row>
    <row r="6" spans="1:3" x14ac:dyDescent="0.35">
      <c r="A6" s="1" t="s">
        <v>5</v>
      </c>
      <c r="B6">
        <v>-0.48275862068965519</v>
      </c>
      <c r="C6">
        <v>-42</v>
      </c>
    </row>
    <row r="7" spans="1:3" x14ac:dyDescent="0.35">
      <c r="A7" s="1" t="s">
        <v>6</v>
      </c>
      <c r="B7">
        <v>6.5518718592218512</v>
      </c>
      <c r="C7">
        <v>-42</v>
      </c>
    </row>
    <row r="8" spans="1:3" x14ac:dyDescent="0.35">
      <c r="A8" s="1" t="s">
        <v>7</v>
      </c>
      <c r="B8">
        <v>-24</v>
      </c>
      <c r="C8">
        <v>-42</v>
      </c>
    </row>
    <row r="9" spans="1:3" x14ac:dyDescent="0.35">
      <c r="A9" s="1" t="s">
        <v>8</v>
      </c>
      <c r="B9">
        <v>-2</v>
      </c>
      <c r="C9">
        <v>-42</v>
      </c>
    </row>
    <row r="10" spans="1:3" x14ac:dyDescent="0.35">
      <c r="A10" s="1" t="s">
        <v>9</v>
      </c>
      <c r="B10">
        <v>-1</v>
      </c>
      <c r="C10">
        <v>-42</v>
      </c>
    </row>
    <row r="11" spans="1:3" x14ac:dyDescent="0.35">
      <c r="A11" s="1" t="s">
        <v>10</v>
      </c>
      <c r="B11">
        <v>2</v>
      </c>
      <c r="C11">
        <v>-42</v>
      </c>
    </row>
    <row r="12" spans="1:3" x14ac:dyDescent="0.35">
      <c r="A12" s="1" t="s">
        <v>11</v>
      </c>
      <c r="B12">
        <v>25</v>
      </c>
      <c r="C12">
        <v>-42</v>
      </c>
    </row>
    <row r="13" spans="1:3" x14ac:dyDescent="0.35">
      <c r="A13" s="2" t="s">
        <v>19</v>
      </c>
      <c r="B13">
        <f>B7/(SQRT(B5))</f>
        <v>0.70243439469227542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3"/>
  <sheetViews>
    <sheetView workbookViewId="0">
      <selection activeCell="A13" sqref="A13:B13"/>
    </sheetView>
  </sheetViews>
  <sheetFormatPr defaultRowHeight="14.5" x14ac:dyDescent="0.35"/>
  <sheetData>
    <row r="1" spans="1:3" x14ac:dyDescent="0.35">
      <c r="A1" s="1"/>
      <c r="B1" s="1" t="s">
        <v>0</v>
      </c>
      <c r="C1" s="1" t="s">
        <v>1</v>
      </c>
    </row>
    <row r="2" spans="1:3" x14ac:dyDescent="0.35">
      <c r="A2" s="1"/>
      <c r="B2" s="1" t="s">
        <v>16</v>
      </c>
      <c r="C2" s="1"/>
    </row>
    <row r="3" spans="1:3" x14ac:dyDescent="0.35">
      <c r="A3" s="1"/>
      <c r="B3" s="1" t="s">
        <v>3</v>
      </c>
      <c r="C3" s="1"/>
    </row>
    <row r="5" spans="1:3" x14ac:dyDescent="0.35">
      <c r="A5" s="1" t="s">
        <v>4</v>
      </c>
      <c r="B5">
        <v>129</v>
      </c>
      <c r="C5">
        <v>236</v>
      </c>
    </row>
    <row r="6" spans="1:3" x14ac:dyDescent="0.35">
      <c r="A6" s="1" t="s">
        <v>5</v>
      </c>
      <c r="B6">
        <v>1.829457364341085</v>
      </c>
      <c r="C6">
        <v>236</v>
      </c>
    </row>
    <row r="7" spans="1:3" x14ac:dyDescent="0.35">
      <c r="A7" s="1" t="s">
        <v>6</v>
      </c>
      <c r="B7">
        <v>21.241588052320761</v>
      </c>
      <c r="C7">
        <v>236</v>
      </c>
    </row>
    <row r="8" spans="1:3" x14ac:dyDescent="0.35">
      <c r="A8" s="1" t="s">
        <v>7</v>
      </c>
      <c r="B8">
        <v>-118</v>
      </c>
      <c r="C8">
        <v>236</v>
      </c>
    </row>
    <row r="9" spans="1:3" x14ac:dyDescent="0.35">
      <c r="A9" s="1" t="s">
        <v>8</v>
      </c>
      <c r="B9">
        <v>-4</v>
      </c>
      <c r="C9">
        <v>236</v>
      </c>
    </row>
    <row r="10" spans="1:3" x14ac:dyDescent="0.35">
      <c r="A10" s="1" t="s">
        <v>9</v>
      </c>
      <c r="B10">
        <v>1</v>
      </c>
      <c r="C10">
        <v>236</v>
      </c>
    </row>
    <row r="11" spans="1:3" x14ac:dyDescent="0.35">
      <c r="A11" s="1" t="s">
        <v>10</v>
      </c>
      <c r="B11">
        <v>8</v>
      </c>
      <c r="C11">
        <v>236</v>
      </c>
    </row>
    <row r="12" spans="1:3" x14ac:dyDescent="0.35">
      <c r="A12" s="1" t="s">
        <v>11</v>
      </c>
      <c r="B12">
        <v>78</v>
      </c>
      <c r="C12">
        <v>236</v>
      </c>
    </row>
    <row r="13" spans="1:3" x14ac:dyDescent="0.35">
      <c r="A13" s="2" t="s">
        <v>19</v>
      </c>
      <c r="B13">
        <f>B7/(SQRT(B5))</f>
        <v>1.8702175452461356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3"/>
  <sheetViews>
    <sheetView workbookViewId="0">
      <selection activeCell="A13" sqref="A13:B13"/>
    </sheetView>
  </sheetViews>
  <sheetFormatPr defaultRowHeight="14.5" x14ac:dyDescent="0.35"/>
  <sheetData>
    <row r="1" spans="1:3" x14ac:dyDescent="0.35">
      <c r="A1" s="1"/>
      <c r="B1" s="1" t="s">
        <v>0</v>
      </c>
      <c r="C1" s="1" t="s">
        <v>1</v>
      </c>
    </row>
    <row r="2" spans="1:3" x14ac:dyDescent="0.35">
      <c r="A2" s="1"/>
      <c r="B2" s="1" t="s">
        <v>16</v>
      </c>
      <c r="C2" s="1"/>
    </row>
    <row r="3" spans="1:3" x14ac:dyDescent="0.35">
      <c r="A3" s="1"/>
      <c r="B3" s="1" t="s">
        <v>12</v>
      </c>
      <c r="C3" s="1"/>
    </row>
    <row r="5" spans="1:3" x14ac:dyDescent="0.35">
      <c r="A5" s="1" t="s">
        <v>4</v>
      </c>
      <c r="B5">
        <v>126</v>
      </c>
      <c r="C5">
        <v>-130</v>
      </c>
    </row>
    <row r="6" spans="1:3" x14ac:dyDescent="0.35">
      <c r="A6" s="1" t="s">
        <v>5</v>
      </c>
      <c r="B6">
        <v>-1.0317460317460321</v>
      </c>
      <c r="C6">
        <v>-130</v>
      </c>
    </row>
    <row r="7" spans="1:3" x14ac:dyDescent="0.35">
      <c r="A7" s="1" t="s">
        <v>6</v>
      </c>
      <c r="B7">
        <v>18.032387088984759</v>
      </c>
      <c r="C7">
        <v>-130</v>
      </c>
    </row>
    <row r="8" spans="1:3" x14ac:dyDescent="0.35">
      <c r="A8" s="1" t="s">
        <v>7</v>
      </c>
      <c r="B8">
        <v>-85</v>
      </c>
      <c r="C8">
        <v>-130</v>
      </c>
    </row>
    <row r="9" spans="1:3" x14ac:dyDescent="0.35">
      <c r="A9" s="1" t="s">
        <v>8</v>
      </c>
      <c r="B9">
        <v>-4</v>
      </c>
      <c r="C9">
        <v>-130</v>
      </c>
    </row>
    <row r="10" spans="1:3" x14ac:dyDescent="0.35">
      <c r="A10" s="1" t="s">
        <v>9</v>
      </c>
      <c r="B10">
        <v>-1</v>
      </c>
      <c r="C10">
        <v>-130</v>
      </c>
    </row>
    <row r="11" spans="1:3" x14ac:dyDescent="0.35">
      <c r="A11" s="1" t="s">
        <v>10</v>
      </c>
      <c r="B11">
        <v>6.75</v>
      </c>
      <c r="C11">
        <v>-130</v>
      </c>
    </row>
    <row r="12" spans="1:3" x14ac:dyDescent="0.35">
      <c r="A12" s="1" t="s">
        <v>11</v>
      </c>
      <c r="B12">
        <v>32</v>
      </c>
      <c r="C12">
        <v>-130</v>
      </c>
    </row>
    <row r="13" spans="1:3" x14ac:dyDescent="0.35">
      <c r="A13" s="2" t="s">
        <v>19</v>
      </c>
      <c r="B13">
        <f>B7/(SQRT(B5))</f>
        <v>1.6064527226825445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3"/>
  <sheetViews>
    <sheetView workbookViewId="0">
      <selection activeCell="A13" sqref="A13:B13"/>
    </sheetView>
  </sheetViews>
  <sheetFormatPr defaultRowHeight="14.5" x14ac:dyDescent="0.35"/>
  <sheetData>
    <row r="1" spans="1:3" x14ac:dyDescent="0.35">
      <c r="A1" s="1"/>
      <c r="B1" s="1" t="s">
        <v>0</v>
      </c>
      <c r="C1" s="1" t="s">
        <v>1</v>
      </c>
    </row>
    <row r="2" spans="1:3" x14ac:dyDescent="0.35">
      <c r="A2" s="1"/>
      <c r="B2" s="1" t="s">
        <v>17</v>
      </c>
      <c r="C2" s="1"/>
    </row>
    <row r="3" spans="1:3" x14ac:dyDescent="0.35">
      <c r="A3" s="1"/>
      <c r="B3" s="1" t="s">
        <v>3</v>
      </c>
      <c r="C3" s="1"/>
    </row>
    <row r="5" spans="1:3" x14ac:dyDescent="0.35">
      <c r="A5" s="1" t="s">
        <v>4</v>
      </c>
      <c r="B5">
        <v>118</v>
      </c>
      <c r="C5">
        <v>-20</v>
      </c>
    </row>
    <row r="6" spans="1:3" x14ac:dyDescent="0.35">
      <c r="A6" s="1" t="s">
        <v>5</v>
      </c>
      <c r="B6">
        <v>-0.16949152542372881</v>
      </c>
      <c r="C6">
        <v>-20</v>
      </c>
    </row>
    <row r="7" spans="1:3" x14ac:dyDescent="0.35">
      <c r="A7" s="1" t="s">
        <v>6</v>
      </c>
      <c r="B7">
        <v>17.697508195235859</v>
      </c>
      <c r="C7">
        <v>-20</v>
      </c>
    </row>
    <row r="8" spans="1:3" x14ac:dyDescent="0.35">
      <c r="A8" s="1" t="s">
        <v>7</v>
      </c>
      <c r="B8">
        <v>-80</v>
      </c>
      <c r="C8">
        <v>-20</v>
      </c>
    </row>
    <row r="9" spans="1:3" x14ac:dyDescent="0.35">
      <c r="A9" s="1" t="s">
        <v>8</v>
      </c>
      <c r="B9">
        <v>-4</v>
      </c>
      <c r="C9">
        <v>-20</v>
      </c>
    </row>
    <row r="10" spans="1:3" x14ac:dyDescent="0.35">
      <c r="A10" s="1" t="s">
        <v>9</v>
      </c>
      <c r="B10">
        <v>1</v>
      </c>
      <c r="C10">
        <v>-20</v>
      </c>
    </row>
    <row r="11" spans="1:3" x14ac:dyDescent="0.35">
      <c r="A11" s="1" t="s">
        <v>10</v>
      </c>
      <c r="B11">
        <v>6.75</v>
      </c>
      <c r="C11">
        <v>-20</v>
      </c>
    </row>
    <row r="12" spans="1:3" x14ac:dyDescent="0.35">
      <c r="A12" s="1" t="s">
        <v>11</v>
      </c>
      <c r="B12">
        <v>47</v>
      </c>
      <c r="C12">
        <v>-20</v>
      </c>
    </row>
    <row r="13" spans="1:3" x14ac:dyDescent="0.35">
      <c r="A13" s="2" t="s">
        <v>19</v>
      </c>
      <c r="B13">
        <f>B7/(SQRT(B5))</f>
        <v>1.6291876844581696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3"/>
  <sheetViews>
    <sheetView workbookViewId="0">
      <selection activeCell="A13" sqref="A13:B13"/>
    </sheetView>
  </sheetViews>
  <sheetFormatPr defaultRowHeight="14.5" x14ac:dyDescent="0.35"/>
  <sheetData>
    <row r="1" spans="1:3" x14ac:dyDescent="0.35">
      <c r="A1" s="1"/>
      <c r="B1" s="1" t="s">
        <v>0</v>
      </c>
      <c r="C1" s="1" t="s">
        <v>1</v>
      </c>
    </row>
    <row r="2" spans="1:3" x14ac:dyDescent="0.35">
      <c r="A2" s="1"/>
      <c r="B2" s="1" t="s">
        <v>17</v>
      </c>
      <c r="C2" s="1"/>
    </row>
    <row r="3" spans="1:3" x14ac:dyDescent="0.35">
      <c r="A3" s="1"/>
      <c r="B3" s="1" t="s">
        <v>12</v>
      </c>
      <c r="C3" s="1"/>
    </row>
    <row r="5" spans="1:3" x14ac:dyDescent="0.35">
      <c r="A5" s="1" t="s">
        <v>4</v>
      </c>
      <c r="B5">
        <v>218</v>
      </c>
      <c r="C5">
        <v>37</v>
      </c>
    </row>
    <row r="6" spans="1:3" x14ac:dyDescent="0.35">
      <c r="A6" s="1" t="s">
        <v>5</v>
      </c>
      <c r="B6">
        <v>0.16972477064220179</v>
      </c>
      <c r="C6">
        <v>37</v>
      </c>
    </row>
    <row r="7" spans="1:3" x14ac:dyDescent="0.35">
      <c r="A7" s="1" t="s">
        <v>6</v>
      </c>
      <c r="B7">
        <v>10.273387431846491</v>
      </c>
      <c r="C7">
        <v>37</v>
      </c>
    </row>
    <row r="8" spans="1:3" x14ac:dyDescent="0.35">
      <c r="A8" s="1" t="s">
        <v>7</v>
      </c>
      <c r="B8">
        <v>-50</v>
      </c>
      <c r="C8">
        <v>37</v>
      </c>
    </row>
    <row r="9" spans="1:3" x14ac:dyDescent="0.35">
      <c r="A9" s="1" t="s">
        <v>8</v>
      </c>
      <c r="B9">
        <v>-3</v>
      </c>
      <c r="C9">
        <v>37</v>
      </c>
    </row>
    <row r="10" spans="1:3" x14ac:dyDescent="0.35">
      <c r="A10" s="1" t="s">
        <v>9</v>
      </c>
      <c r="B10">
        <v>-1</v>
      </c>
      <c r="C10">
        <v>37</v>
      </c>
    </row>
    <row r="11" spans="1:3" x14ac:dyDescent="0.35">
      <c r="A11" s="1" t="s">
        <v>10</v>
      </c>
      <c r="B11">
        <v>3</v>
      </c>
      <c r="C11">
        <v>37</v>
      </c>
    </row>
    <row r="12" spans="1:3" x14ac:dyDescent="0.35">
      <c r="A12" s="1" t="s">
        <v>11</v>
      </c>
      <c r="B12">
        <v>32</v>
      </c>
      <c r="C12">
        <v>37</v>
      </c>
    </row>
    <row r="13" spans="1:3" x14ac:dyDescent="0.35">
      <c r="A13" s="2" t="s">
        <v>19</v>
      </c>
      <c r="B13">
        <f>B7/(SQRT(B5))</f>
        <v>0.69580159477265624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3"/>
  <sheetViews>
    <sheetView workbookViewId="0">
      <selection activeCell="A13" sqref="A13:B13"/>
    </sheetView>
  </sheetViews>
  <sheetFormatPr defaultRowHeight="14.5" x14ac:dyDescent="0.35"/>
  <sheetData>
    <row r="1" spans="1:3" x14ac:dyDescent="0.35">
      <c r="A1" s="1"/>
      <c r="B1" s="1" t="s">
        <v>0</v>
      </c>
      <c r="C1" s="1" t="s">
        <v>1</v>
      </c>
    </row>
    <row r="2" spans="1:3" x14ac:dyDescent="0.35">
      <c r="A2" s="1"/>
      <c r="B2" s="1" t="s">
        <v>18</v>
      </c>
      <c r="C2" s="1"/>
    </row>
    <row r="3" spans="1:3" x14ac:dyDescent="0.35">
      <c r="A3" s="1"/>
      <c r="B3" s="1" t="s">
        <v>3</v>
      </c>
      <c r="C3" s="1"/>
    </row>
    <row r="5" spans="1:3" x14ac:dyDescent="0.35">
      <c r="A5" s="1" t="s">
        <v>4</v>
      </c>
      <c r="B5">
        <v>18</v>
      </c>
      <c r="C5">
        <v>60</v>
      </c>
    </row>
    <row r="6" spans="1:3" x14ac:dyDescent="0.35">
      <c r="A6" s="1" t="s">
        <v>5</v>
      </c>
      <c r="B6">
        <v>3.333333333333333</v>
      </c>
      <c r="C6">
        <v>60</v>
      </c>
    </row>
    <row r="7" spans="1:3" x14ac:dyDescent="0.35">
      <c r="A7" s="1" t="s">
        <v>6</v>
      </c>
      <c r="B7">
        <v>16.190047778151349</v>
      </c>
      <c r="C7">
        <v>60</v>
      </c>
    </row>
    <row r="8" spans="1:3" x14ac:dyDescent="0.35">
      <c r="A8" s="1" t="s">
        <v>7</v>
      </c>
      <c r="B8">
        <v>-26</v>
      </c>
      <c r="C8">
        <v>60</v>
      </c>
    </row>
    <row r="9" spans="1:3" x14ac:dyDescent="0.35">
      <c r="A9" s="1" t="s">
        <v>8</v>
      </c>
      <c r="B9">
        <v>-8.5</v>
      </c>
      <c r="C9">
        <v>60</v>
      </c>
    </row>
    <row r="10" spans="1:3" x14ac:dyDescent="0.35">
      <c r="A10" s="1" t="s">
        <v>9</v>
      </c>
      <c r="B10">
        <v>2.5</v>
      </c>
      <c r="C10">
        <v>60</v>
      </c>
    </row>
    <row r="11" spans="1:3" x14ac:dyDescent="0.35">
      <c r="A11" s="1" t="s">
        <v>10</v>
      </c>
      <c r="B11">
        <v>9.5</v>
      </c>
      <c r="C11">
        <v>60</v>
      </c>
    </row>
    <row r="12" spans="1:3" x14ac:dyDescent="0.35">
      <c r="A12" s="1" t="s">
        <v>11</v>
      </c>
      <c r="B12">
        <v>39</v>
      </c>
      <c r="C12">
        <v>60</v>
      </c>
    </row>
    <row r="13" spans="1:3" x14ac:dyDescent="0.35">
      <c r="A13" s="2" t="s">
        <v>19</v>
      </c>
      <c r="B13">
        <f>B7/(SQRT(B5))</f>
        <v>3.8160308572216723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3"/>
  <sheetViews>
    <sheetView tabSelected="1" workbookViewId="0">
      <selection activeCell="H13" sqref="H13"/>
    </sheetView>
  </sheetViews>
  <sheetFormatPr defaultRowHeight="14.5" x14ac:dyDescent="0.35"/>
  <sheetData>
    <row r="1" spans="1:3" x14ac:dyDescent="0.35">
      <c r="A1" s="1"/>
      <c r="B1" s="1" t="s">
        <v>0</v>
      </c>
      <c r="C1" s="1" t="s">
        <v>1</v>
      </c>
    </row>
    <row r="2" spans="1:3" x14ac:dyDescent="0.35">
      <c r="A2" s="1"/>
      <c r="B2" s="1" t="s">
        <v>18</v>
      </c>
      <c r="C2" s="1"/>
    </row>
    <row r="3" spans="1:3" x14ac:dyDescent="0.35">
      <c r="A3" s="1"/>
      <c r="B3" s="1" t="s">
        <v>12</v>
      </c>
      <c r="C3" s="1"/>
    </row>
    <row r="5" spans="1:3" x14ac:dyDescent="0.35">
      <c r="A5" s="1" t="s">
        <v>4</v>
      </c>
      <c r="B5">
        <v>3</v>
      </c>
      <c r="C5">
        <v>-5</v>
      </c>
    </row>
    <row r="6" spans="1:3" x14ac:dyDescent="0.35">
      <c r="A6" s="1" t="s">
        <v>5</v>
      </c>
      <c r="B6">
        <v>-1.666666666666667</v>
      </c>
      <c r="C6">
        <v>-5</v>
      </c>
    </row>
    <row r="7" spans="1:3" x14ac:dyDescent="0.35">
      <c r="A7" s="1" t="s">
        <v>6</v>
      </c>
      <c r="B7">
        <v>5.5075705472861021</v>
      </c>
      <c r="C7">
        <v>-5</v>
      </c>
    </row>
    <row r="8" spans="1:3" x14ac:dyDescent="0.35">
      <c r="A8" s="1" t="s">
        <v>7</v>
      </c>
      <c r="B8">
        <v>-7</v>
      </c>
      <c r="C8">
        <v>-5</v>
      </c>
    </row>
    <row r="9" spans="1:3" x14ac:dyDescent="0.35">
      <c r="A9" s="1" t="s">
        <v>8</v>
      </c>
      <c r="B9">
        <v>-4.5</v>
      </c>
      <c r="C9">
        <v>-5</v>
      </c>
    </row>
    <row r="10" spans="1:3" x14ac:dyDescent="0.35">
      <c r="A10" s="1" t="s">
        <v>9</v>
      </c>
      <c r="B10">
        <v>-2</v>
      </c>
      <c r="C10">
        <v>-5</v>
      </c>
    </row>
    <row r="11" spans="1:3" x14ac:dyDescent="0.35">
      <c r="A11" s="1" t="s">
        <v>10</v>
      </c>
      <c r="B11">
        <v>1</v>
      </c>
      <c r="C11">
        <v>-5</v>
      </c>
    </row>
    <row r="12" spans="1:3" x14ac:dyDescent="0.35">
      <c r="A12" s="1" t="s">
        <v>11</v>
      </c>
      <c r="B12">
        <v>4</v>
      </c>
      <c r="C12">
        <v>-5</v>
      </c>
    </row>
    <row r="13" spans="1:3" x14ac:dyDescent="0.35">
      <c r="A13" s="2" t="s">
        <v>19</v>
      </c>
      <c r="B13">
        <f>B7/(SQRT(B5))</f>
        <v>3.1797973380564857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('Βαθύ', 'Sprayed')</vt:lpstr>
      <vt:lpstr>('Βαθύ', 'Unsprayed')</vt:lpstr>
      <vt:lpstr>('Καρλόβασι', 'Sprayed')</vt:lpstr>
      <vt:lpstr>('Καρλόβασι', 'Unsprayed')</vt:lpstr>
      <vt:lpstr>('Κοκκάρι', 'Sprayed')</vt:lpstr>
      <vt:lpstr>('Κοκκάρι', 'Unsprayed')</vt:lpstr>
      <vt:lpstr>('Μαραθόκαμπος', 'Sprayed')</vt:lpstr>
      <vt:lpstr>('Μαραθόκαμπος', 'Unsprayed')</vt:lpstr>
      <vt:lpstr>('Μυτιληνιοί', 'Sprayed')</vt:lpstr>
      <vt:lpstr>('Μυτιληνιοί', 'Unsprayed')</vt:lpstr>
      <vt:lpstr>('Πυθαγόρειο', 'Sprayed')</vt:lpstr>
      <vt:lpstr>('Πυθαγόρειο', 'Unsprayed')</vt:lpstr>
      <vt:lpstr>('Πύργος', 'Sprayed')</vt:lpstr>
      <vt:lpstr>('Πύργος', 'Unsprayed')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Simmers</cp:lastModifiedBy>
  <dcterms:created xsi:type="dcterms:W3CDTF">2026-05-16T10:58:10Z</dcterms:created>
  <dcterms:modified xsi:type="dcterms:W3CDTF">2026-05-24T15:54:31Z</dcterms:modified>
</cp:coreProperties>
</file>